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1.Resumen" sheetId="1" state="visible" r:id="rId3"/>
    <sheet name="5.Diagrama de gantt" sheetId="2" state="visible" r:id="rId4"/>
    <sheet name="costos del equipo de trabajo" sheetId="3" state="visible" r:id="rId5"/>
    <sheet name="costos estimados para usuario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<sst xmlns="http://schemas.openxmlformats.org/spreadsheetml/2006/main" count="177" uniqueCount="145">
  <si>
    <t xml:space="preserve">Resumen Ejecutivo Ppto</t>
  </si>
  <si>
    <t xml:space="preserve">ITEM</t>
  </si>
  <si>
    <t xml:space="preserve">COSTOS</t>
  </si>
  <si>
    <t xml:space="preserve">Hardware</t>
  </si>
  <si>
    <t xml:space="preserve">Software</t>
  </si>
  <si>
    <t xml:space="preserve">Rec. Humano</t>
  </si>
  <si>
    <t xml:space="preserve">Otros</t>
  </si>
  <si>
    <t xml:space="preserve">ENERO</t>
  </si>
  <si>
    <t xml:space="preserve">FEBRERO</t>
  </si>
  <si>
    <t xml:space="preserve">MARZO</t>
  </si>
  <si>
    <t xml:space="preserve">ABRIL</t>
  </si>
  <si>
    <t xml:space="preserve">MAYO</t>
  </si>
  <si>
    <t xml:space="preserve">JUNIO</t>
  </si>
  <si>
    <t xml:space="preserve">JULIO</t>
  </si>
  <si>
    <t xml:space="preserve">Analsis</t>
  </si>
  <si>
    <t xml:space="preserve">Elicitación</t>
  </si>
  <si>
    <t xml:space="preserve">Análisis</t>
  </si>
  <si>
    <t xml:space="preserve">Informe de analisis (SRS)</t>
  </si>
  <si>
    <t xml:space="preserve">Validación de requerimientos</t>
  </si>
  <si>
    <t xml:space="preserve">Planeación</t>
  </si>
  <si>
    <t xml:space="preserve">Crear arquitectura</t>
  </si>
  <si>
    <t xml:space="preserve">Seleccionar tecnologias</t>
  </si>
  <si>
    <t xml:space="preserve">Disgramas UML</t>
  </si>
  <si>
    <t xml:space="preserve">Diseñar la UI de la app y Informe de diseño</t>
  </si>
  <si>
    <t xml:space="preserve">Desarrollo</t>
  </si>
  <si>
    <t xml:space="preserve">Configuración de entorno</t>
  </si>
  <si>
    <t xml:space="preserve">Desarrollo de prototipo físico (HW)</t>
  </si>
  <si>
    <t xml:space="preserve">Desarrollo de backend (API / lógica de negocio)</t>
  </si>
  <si>
    <t xml:space="preserve">Desarrollo de frontend / app móvil</t>
  </si>
  <si>
    <t xml:space="preserve">Integración HW–SW</t>
  </si>
  <si>
    <t xml:space="preserve">Documentación técnica</t>
  </si>
  <si>
    <t xml:space="preserve">IMPLEMENTACION</t>
  </si>
  <si>
    <t xml:space="preserve">Pruebas unitarias</t>
  </si>
  <si>
    <t xml:space="preserve">Pruebas de integración</t>
  </si>
  <si>
    <t xml:space="preserve">Pruebas con usuarios finales</t>
  </si>
  <si>
    <t xml:space="preserve">Corrección de errores</t>
  </si>
  <si>
    <t xml:space="preserve">EVALUACION</t>
  </si>
  <si>
    <t xml:space="preserve">Evaluación de desempeño del prototipo</t>
  </si>
  <si>
    <t xml:space="preserve">Informe final de evaluación</t>
  </si>
  <si>
    <t xml:space="preserve">Presentación y cierre del proyecto</t>
  </si>
  <si>
    <t xml:space="preserve">Costos de Hardware </t>
  </si>
  <si>
    <t xml:space="preserve">Costos de Software</t>
  </si>
  <si>
    <t xml:space="preserve">Costos de Recurso Humano (estimado por 7 meses de desarrollo)</t>
  </si>
  <si>
    <t xml:space="preserve">opciones de los pc para el equipo de desarrollo</t>
  </si>
  <si>
    <t xml:space="preserve">Cantidad</t>
  </si>
  <si>
    <t xml:space="preserve">Precio unitario (COP)</t>
  </si>
  <si>
    <t xml:space="preserve">Subtotal (COP)</t>
  </si>
  <si>
    <t xml:space="preserve">Herramienta</t>
  </si>
  <si>
    <t xml:space="preserve">Tipo</t>
  </si>
  <si>
    <t xml:space="preserve">Costo estimado</t>
  </si>
  <si>
    <t xml:space="preserve">Rol</t>
  </si>
  <si>
    <t xml:space="preserve">Tiempo (meses)</t>
  </si>
  <si>
    <t xml:space="preserve">Costo mensual aprox. (COP)</t>
  </si>
  <si>
    <t xml:space="preserve">Característica</t>
  </si>
  <si>
    <t xml:space="preserve">Opción 1: Gama de entrada </t>
  </si>
  <si>
    <t xml:space="preserve">Opción 2: Gama media </t>
  </si>
  <si>
    <t xml:space="preserve">Opción 3: Gama alta </t>
  </si>
  <si>
    <t xml:space="preserve">ESP32 (WiFi + Bluetooth)</t>
  </si>
  <si>
    <t xml:space="preserve">Java 21 (OpenJDK)</t>
  </si>
  <si>
    <t xml:space="preserve">Libre</t>
  </si>
  <si>
    <t xml:space="preserve">Líder de proyecto</t>
  </si>
  <si>
    <t xml:space="preserve">Rango de precios (COP)</t>
  </si>
  <si>
    <t xml:space="preserve">$2.000.000 – $3.500.000</t>
  </si>
  <si>
    <t xml:space="preserve">$3.500.000 – $6.000.000</t>
  </si>
  <si>
    <t xml:space="preserve">$8.000.000 – $15.000.000+</t>
  </si>
  <si>
    <t xml:space="preserve">Medidor de electricidad digital Peacefair PZEM-004T-100A (Sensor)</t>
  </si>
  <si>
    <t xml:space="preserve">Spring Boot 4.1.1 + Spring Modulith 2.1 + Spring Security + Spring Data JPA</t>
  </si>
  <si>
    <t xml:space="preserve">Desarrollador (backend, firmware, apps)</t>
  </si>
  <si>
    <t xml:space="preserve">Procesador (CPU)</t>
  </si>
  <si>
    <t xml:space="preserve">Intel Core i5 / AMD Ryzen 5</t>
  </si>
  <si>
    <t xml:space="preserve">Intel Core i7 / AMD Ryzen 7</t>
  </si>
  <si>
    <t xml:space="preserve">Intel Core i9 / AMD Ryzen 9</t>
  </si>
  <si>
    <t xml:space="preserve">Fuente de alimentación Ac-dc 3.3v Hlk-pm03</t>
  </si>
  <si>
    <t xml:space="preserve">MySQL 8.4 + Liquibase</t>
  </si>
  <si>
    <t xml:space="preserve">Gestor de bases de datos</t>
  </si>
  <si>
    <t xml:space="preserve">Memoria RAM</t>
  </si>
  <si>
    <t xml:space="preserve">16 GB DDR4</t>
  </si>
  <si>
    <t xml:space="preserve">32 GB DDR4</t>
  </si>
  <si>
    <t xml:space="preserve">64 GB DDR4/DDR5</t>
  </si>
  <si>
    <t xml:space="preserve">Cables Jumpers Macho Macho 20 cm</t>
  </si>
  <si>
    <t xml:space="preserve">Eclipse Mosquitto (MQTT 3.1.1 sobre TLS, puerto 8883)</t>
  </si>
  <si>
    <t xml:space="preserve">Analista / frontend / UX-UI</t>
  </si>
  <si>
    <t xml:space="preserve">Almacenamiento</t>
  </si>
  <si>
    <t xml:space="preserve">512 GB SSD (SATA/NVMe)</t>
  </si>
  <si>
    <t xml:space="preserve">1 TB SSD</t>
  </si>
  <si>
    <t xml:space="preserve">2 TB SSD NVMe</t>
  </si>
  <si>
    <t xml:space="preserve">Cables Jumpers Macho Hembra 20 cm</t>
  </si>
  <si>
    <t xml:space="preserve">Docker / Docker Compose</t>
  </si>
  <si>
    <t xml:space="preserve">Total recurso humano</t>
  </si>
  <si>
    <t xml:space="preserve">–</t>
  </si>
  <si>
    <t xml:space="preserve">Tarjeta gráfica (GPU)</t>
  </si>
  <si>
    <t xml:space="preserve">Integrada</t>
  </si>
  <si>
    <t xml:space="preserve">Integrada o dedicada de gama baja (RTX 3050 / RX 6600)</t>
  </si>
  <si>
    <t xml:space="preserve">Dedicada de gama alta (RTX 4080 o superior)</t>
  </si>
  <si>
    <t xml:space="preserve">Cable eléctrico encauchetado de 2x14 AWG</t>
  </si>
  <si>
    <t xml:space="preserve">React 19 + Vite 8 + Zustand (web)</t>
  </si>
  <si>
    <t xml:space="preserve">Justificación de costos</t>
  </si>
  <si>
    <t xml:space="preserve">Componentes accesibles y estándar. No requiere GPU dedicada.</t>
  </si>
  <si>
    <t xml:space="preserve">Mayor RAM, CPU más potente, almacenamiento ampliado. Posible inclusión de GPU de gama baja.</t>
  </si>
  <si>
    <t xml:space="preserve">Componentes premium: CPU extremo, RAM de gran capacidad, SSD NVMe grande y GPU de última generación.</t>
  </si>
  <si>
    <t xml:space="preserve">Cable calibre 14 rojo y negro</t>
  </si>
  <si>
    <t xml:space="preserve">Expo SDK 57 + React Native 0.86 (Android)</t>
  </si>
  <si>
    <t xml:space="preserve">Ejemplos de referencia</t>
  </si>
  <si>
    <t xml:space="preserve">Clones y Periféricos, Mercado Libre, Todo Tintas y Suministros</t>
  </si>
  <si>
    <t xml:space="preserve">Falabella, Mercado Libre, PC Ware Colombia</t>
  </si>
  <si>
    <t xml:space="preserve">Conector Jst Macho-Hembra Xh2.54 Xh2.54mm 4</t>
  </si>
  <si>
    <t xml:space="preserve">Arduino IDE / ESP32 (firmware 1.3.8)</t>
  </si>
  <si>
    <t xml:space="preserve">Cables Jumpers Hembra Hembra 20 cm</t>
  </si>
  <si>
    <t xml:space="preserve">Visual Studio Code</t>
  </si>
  <si>
    <t xml:space="preserve">opcion elegida</t>
  </si>
  <si>
    <t xml:space="preserve">la opción de gama media es la más adecuada porque ofrece un equilibrio entre rendimiento, capacidad de expansión y costo, garantizando que el proyecto de monitoreo eléctrico pueda desarrollarse de manera eficiente y con proyección a futuro.</t>
  </si>
  <si>
    <t xml:space="preserve">Caja o carcasa plástica (prototipo)</t>
  </si>
  <si>
    <t xml:space="preserve">Let's Encrypt (certificados TLS)</t>
  </si>
  <si>
    <t xml:space="preserve">total</t>
  </si>
  <si>
    <t xml:space="preserve">costos pc del equipo de desarrollo</t>
  </si>
  <si>
    <t xml:space="preserve">Hostinger VPS KVM 2 (2 vCPU, 8 GB, 100 GB NVMe) - 24 meses x COP 28.900</t>
  </si>
  <si>
    <t xml:space="preserve">Pago</t>
  </si>
  <si>
    <t xml:space="preserve">costos cel del equipo de desarrollo</t>
  </si>
  <si>
    <t xml:space="preserve">Dominio .com (estimado, 1 año)</t>
  </si>
  <si>
    <t xml:space="preserve">Total aproximado hardware</t>
  </si>
  <si>
    <t xml:space="preserve">Total software e infraestructura</t>
  </si>
  <si>
    <t xml:space="preserve">-</t>
  </si>
  <si>
    <t xml:space="preserve">opcion de celular para desarrolladores</t>
  </si>
  <si>
    <t xml:space="preserve">Modelo</t>
  </si>
  <si>
    <t xml:space="preserve">Rango de precio (COP)</t>
  </si>
  <si>
    <t xml:space="preserve">Fuente/Referencia</t>
  </si>
  <si>
    <t xml:space="preserve">Xiaomi Redmi 13</t>
  </si>
  <si>
    <t xml:space="preserve">$450.000 – $700.000</t>
  </si>
  <si>
    <t xml:space="preserve">Mercado Libre y otras tiendas en línea</t>
  </si>
  <si>
    <t xml:space="preserve">Samsung Galaxy A55</t>
  </si>
  <si>
    <t xml:space="preserve">$1.600.000 – $2.200.000</t>
  </si>
  <si>
    <t xml:space="preserve">Tiendas oficiales de operadores y minoristas (Mercado Libre, Movistar)</t>
  </si>
  <si>
    <t xml:space="preserve">el Xiaomi Redmi 13 es la mejor elección porque combina bajo costo, compatibilidad tecnológica y accesibilidad en el mercado, cumpliendo con los requerimientos del proyecto sin generar gastos excesivos.</t>
  </si>
  <si>
    <t xml:space="preserve">Celulares para Usuarios</t>
  </si>
  <si>
    <t xml:space="preserve">Laptops para Usuarios</t>
  </si>
  <si>
    <t xml:space="preserve">HP 240 G9 (Core i5, 8 GB RAM, 512 GB SSD)</t>
  </si>
  <si>
    <t xml:space="preserve">$2.500.000 – $2.900.000</t>
  </si>
  <si>
    <t xml:space="preserve">HP Store Colombia, Mercado Libre</t>
  </si>
  <si>
    <t xml:space="preserve">Dell Inspiron 15 (Core i5, 8 GB RAM)</t>
  </si>
  <si>
    <t xml:space="preserve">$1.800.000 – $2.500.000</t>
  </si>
  <si>
    <t xml:space="preserve">Dell.es (referencia), Mercado Libre</t>
  </si>
  <si>
    <t xml:space="preserve">Apple MacBook Air M2 (8 GB RAM, 256 GB SSD)</t>
  </si>
  <si>
    <t xml:space="preserve">$4.000.000 – $4.500.000</t>
  </si>
  <si>
    <t xml:space="preserve">Éxito, Mercado Libre</t>
  </si>
  <si>
    <t xml:space="preserve">Nota: la app móvil es solo Android (Expo SDK 57); la web funciona en navegadores modernos. No se exige iOS ni MacBook. Sin costo de licencias de software para el usuario.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</si>
</sst>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-[$$-240A]\ * #,##0.00_-;\-[$$-240A]\ * #,##0.00_-;_-[$$-240A]\ * \-??_-;_-@"/>
    <numFmt numFmtId="166" formatCode="_-&quot;$ &quot;* #,##0.0_-;&quot;-$ &quot;* #,##0.0_-;_-&quot;$ &quot;* \-?_-;_-@"/>
    <numFmt numFmtId="167" formatCode="&quot;$ &quot;#,##0;[RED]&quot;-$ &quot;#,##0"/>
    <numFmt numFmtId="168" formatCode="&quot;$ &quot;#,##0.00"/>
    <numFmt numFmtId="169" formatCode="_-* #,##0.00&quot; €&quot;_-;\-* #,##0.00&quot; €&quot;_-;_-* \-??&quot; €&quot;_-;_-@_-"/>
    <numFmt numFmtId="170" formatCode="_-[$$-240A]\ * #,##0.00_-;\-[$$-240A]\ * #,##0.00_-;_-[$$-240A]\ * \-??_-;_-@_-"/>
  </numFmts>
  <fonts count="15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b val="true"/>
      <sz val="18"/>
      <color theme="1"/>
      <name val="Calibri"/>
      <family val="0"/>
      <charset val="1"/>
    </font>
    <font>
      <b val="true"/>
      <sz val="14"/>
      <color theme="1"/>
      <name val="Calibri"/>
      <family val="0"/>
      <charset val="1"/>
    </font>
    <font>
      <b val="true"/>
      <sz val="14"/>
      <color theme="1"/>
      <name val="Aptos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11"/>
      <name val="Calibri"/>
      <family val="0"/>
      <charset val="1"/>
    </font>
    <font>
      <b val="true"/>
      <sz val="16"/>
      <color theme="1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E2EFD9"/>
        <bgColor rgb="FFFFFFCC"/>
      </patternFill>
    </fill>
    <fill>
      <patternFill patternType="solid">
        <fgColor rgb="FFFFE598"/>
        <bgColor rgb="FFFFFF99"/>
      </patternFill>
    </fill>
    <fill>
      <patternFill patternType="solid">
        <fgColor rgb="FFFF0000"/>
        <bgColor rgb="FF993300"/>
      </patternFill>
    </fill>
    <fill>
      <patternFill patternType="solid">
        <fgColor rgb="FF00FF00"/>
        <bgColor rgb="FF33CCCC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33CCCC"/>
      </patternFill>
    </fill>
    <fill>
      <patternFill patternType="solid">
        <fgColor rgb="FF7030A0"/>
        <bgColor rgb="FF993366"/>
      </patternFill>
    </fill>
    <fill>
      <patternFill patternType="solid">
        <fgColor rgb="FF548135"/>
        <bgColor rgb="FF339966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9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9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9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9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9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9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7" fontId="4" fillId="0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8" fontId="10" fillId="0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8" fillId="0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4" fillId="0" borderId="10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7" fontId="4" fillId="0" borderId="1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4" fillId="0" borderId="0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7" fontId="4" fillId="0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9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1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1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1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1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1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1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12" fillId="0" borderId="7" xfId="17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12" fillId="0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5" xfId="17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9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135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E2EFD9"/>
      <rgbColor rgb="FFFFFF99"/>
      <rgbColor rgb="FF99CCFF"/>
      <rgbColor rgb="FFFF99CC"/>
      <rgbColor rgb="FFCC99FF"/>
      <rgbColor rgb="FFFFE59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14.4296875" defaultRowHeight="15" zeroHeight="false" outlineLevelRow="0" outlineLevelCol="0"/>
  <cols>
    <col collapsed="false" customWidth="true" hidden="false" outlineLevel="0" max="2" min="1" style="1" width="10.7"/>
    <col collapsed="false" customWidth="true" hidden="false" outlineLevel="0" max="3" min="3" style="1" width="28.14"/>
    <col collapsed="false" customWidth="true" hidden="false" outlineLevel="0" max="26" min="4" style="1" width="10.7"/>
  </cols>
  <sheetData>
    <row r="1" customFormat="false" ht="14.25" hidden="false" customHeight="true" outlineLevel="0" collapsed="false"/>
    <row r="2" customFormat="false" ht="14.25" hidden="false" customHeight="true" outlineLevel="0" collapsed="false">
      <c r="B2" s="2" t="s">
        <v>0</v>
      </c>
      <c r="C2" s="2"/>
    </row>
    <row r="3" customFormat="false" ht="14.25" hidden="false" customHeight="true" outlineLevel="0" collapsed="false">
      <c r="B3" s="3" t="s">
        <v>1</v>
      </c>
      <c r="C3" s="3" t="s">
        <v>2</v>
      </c>
    </row>
    <row r="4" customFormat="false" ht="14.25" hidden="false" customHeight="true" outlineLevel="0" collapsed="false">
      <c r="B4" s="4" t="s">
        <v>3</v>
      </c>
      <c r="C4" s="5" t="n">
        <f aca="false">'costos del equipo de trabajo'!E16</f>
        <v>8073997</v>
      </c>
    </row>
    <row r="5" customFormat="false" ht="14.25" hidden="false" customHeight="true" outlineLevel="0" collapsed="false">
      <c r="B5" s="4" t="s">
        <v>4</v>
      </c>
      <c r="C5" s="6" t="n">
        <f aca="false">'costos del equipo de trabajo'!I16</f>
        <v>743600</v>
      </c>
    </row>
    <row r="6" customFormat="false" ht="14.25" hidden="false" customHeight="true" outlineLevel="0" collapsed="false">
      <c r="B6" s="4" t="s">
        <v>5</v>
      </c>
      <c r="C6" s="6" t="n">
        <f aca="false">'costos del equipo de trabajo'!O8</f>
        <v>48900000</v>
      </c>
    </row>
    <row r="7" customFormat="false" ht="14.25" hidden="false" customHeight="true" outlineLevel="0" collapsed="false">
      <c r="B7" s="4" t="s">
        <v>6</v>
      </c>
      <c r="C7" s="6" t="n">
        <v>0</v>
      </c>
    </row>
    <row r="8" customFormat="false" ht="14.25" hidden="false" customHeight="true" outlineLevel="0" collapsed="false">
      <c r="C8" s="7" t="n">
        <f aca="false">SUM(C4:C6)</f>
        <v>57717597</v>
      </c>
    </row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1">
    <mergeCell ref="B2:C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E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2" min="1" style="1" width="10.7"/>
    <col collapsed="false" customWidth="true" hidden="false" outlineLevel="0" max="3" min="3" style="1" width="24.72"/>
    <col collapsed="false" customWidth="true" hidden="false" outlineLevel="0" max="4" min="4" style="1" width="5.3"/>
    <col collapsed="false" customWidth="true" hidden="false" outlineLevel="0" max="5" min="5" style="1" width="5.14"/>
    <col collapsed="false" customWidth="true" hidden="false" outlineLevel="0" max="6" min="6" style="1" width="5"/>
    <col collapsed="false" customWidth="true" hidden="false" outlineLevel="0" max="7" min="7" style="1" width="5.43"/>
    <col collapsed="false" customWidth="true" hidden="false" outlineLevel="0" max="9" min="8" style="1" width="5.3"/>
    <col collapsed="false" customWidth="true" hidden="false" outlineLevel="0" max="10" min="10" style="1" width="5.14"/>
    <col collapsed="false" customWidth="true" hidden="false" outlineLevel="0" max="13" min="11" style="1" width="5.3"/>
    <col collapsed="false" customWidth="true" hidden="false" outlineLevel="0" max="15" min="14" style="1" width="5"/>
    <col collapsed="false" customWidth="true" hidden="false" outlineLevel="0" max="17" min="16" style="1" width="5.3"/>
    <col collapsed="false" customWidth="true" hidden="false" outlineLevel="0" max="18" min="18" style="1" width="5"/>
    <col collapsed="false" customWidth="true" hidden="false" outlineLevel="0" max="19" min="19" style="1" width="5.3"/>
    <col collapsed="false" customWidth="true" hidden="false" outlineLevel="0" max="20" min="20" style="1" width="5.14"/>
    <col collapsed="false" customWidth="true" hidden="false" outlineLevel="0" max="26" min="21" style="1" width="5.3"/>
    <col collapsed="false" customWidth="true" hidden="false" outlineLevel="0" max="31" min="27" style="1" width="5.43"/>
  </cols>
  <sheetData>
    <row r="1" customFormat="false" ht="14.25" hidden="false" customHeight="true" outlineLevel="0" collapsed="false"/>
    <row r="2" customFormat="false" ht="14.25" hidden="false" customHeight="true" outlineLevel="0" collapsed="false">
      <c r="D2" s="8" t="s">
        <v>7</v>
      </c>
      <c r="E2" s="8"/>
      <c r="F2" s="8"/>
      <c r="G2" s="8"/>
      <c r="H2" s="8" t="s">
        <v>8</v>
      </c>
      <c r="I2" s="8"/>
      <c r="J2" s="8"/>
      <c r="K2" s="8"/>
      <c r="L2" s="8" t="s">
        <v>9</v>
      </c>
      <c r="M2" s="8"/>
      <c r="N2" s="8"/>
      <c r="O2" s="8"/>
      <c r="P2" s="8" t="s">
        <v>10</v>
      </c>
      <c r="Q2" s="8"/>
      <c r="R2" s="8"/>
      <c r="S2" s="8"/>
      <c r="T2" s="8" t="s">
        <v>11</v>
      </c>
      <c r="U2" s="8"/>
      <c r="V2" s="8"/>
      <c r="W2" s="8"/>
      <c r="X2" s="8" t="s">
        <v>12</v>
      </c>
      <c r="Y2" s="8"/>
      <c r="Z2" s="8"/>
      <c r="AA2" s="8"/>
      <c r="AB2" s="8" t="s">
        <v>13</v>
      </c>
      <c r="AC2" s="8"/>
      <c r="AD2" s="8"/>
      <c r="AE2" s="8"/>
    </row>
    <row r="3" customFormat="false" ht="14.25" hidden="false" customHeight="true" outlineLevel="0" collapsed="false">
      <c r="D3" s="9" t="n">
        <v>1</v>
      </c>
      <c r="E3" s="9" t="n">
        <v>2</v>
      </c>
      <c r="F3" s="9" t="n">
        <v>3</v>
      </c>
      <c r="G3" s="9" t="n">
        <v>4</v>
      </c>
      <c r="H3" s="9" t="n">
        <v>1</v>
      </c>
      <c r="I3" s="9" t="n">
        <v>2</v>
      </c>
      <c r="J3" s="9" t="n">
        <v>3</v>
      </c>
      <c r="K3" s="9" t="n">
        <v>4</v>
      </c>
      <c r="L3" s="9" t="n">
        <v>1</v>
      </c>
      <c r="M3" s="9" t="n">
        <v>2</v>
      </c>
      <c r="N3" s="9" t="n">
        <v>3</v>
      </c>
      <c r="O3" s="9" t="n">
        <v>4</v>
      </c>
      <c r="P3" s="9" t="n">
        <v>1</v>
      </c>
      <c r="Q3" s="9" t="n">
        <v>2</v>
      </c>
      <c r="R3" s="9" t="n">
        <v>3</v>
      </c>
      <c r="S3" s="9" t="n">
        <v>4</v>
      </c>
      <c r="T3" s="9" t="n">
        <v>1</v>
      </c>
      <c r="U3" s="9" t="n">
        <v>2</v>
      </c>
      <c r="V3" s="9" t="n">
        <v>3</v>
      </c>
      <c r="W3" s="9" t="n">
        <v>4</v>
      </c>
      <c r="X3" s="9" t="n">
        <v>1</v>
      </c>
      <c r="Y3" s="9" t="n">
        <v>2</v>
      </c>
      <c r="Z3" s="9" t="n">
        <v>3</v>
      </c>
      <c r="AA3" s="9" t="n">
        <v>4</v>
      </c>
      <c r="AB3" s="9" t="n">
        <v>1</v>
      </c>
      <c r="AC3" s="9" t="n">
        <v>2</v>
      </c>
      <c r="AD3" s="9" t="n">
        <v>3</v>
      </c>
      <c r="AE3" s="9" t="n">
        <v>4</v>
      </c>
    </row>
    <row r="4" customFormat="false" ht="14.25" hidden="false" customHeight="true" outlineLevel="0" collapsed="false">
      <c r="B4" s="10" t="s">
        <v>14</v>
      </c>
      <c r="C4" s="11" t="s">
        <v>15</v>
      </c>
      <c r="D4" s="12"/>
      <c r="E4" s="12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</row>
    <row r="5" customFormat="false" ht="14.25" hidden="false" customHeight="true" outlineLevel="0" collapsed="false">
      <c r="B5" s="10"/>
      <c r="C5" s="11" t="s">
        <v>16</v>
      </c>
      <c r="D5" s="13"/>
      <c r="E5" s="13"/>
      <c r="F5" s="12"/>
      <c r="G5" s="12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</row>
    <row r="6" customFormat="false" ht="14.25" hidden="false" customHeight="true" outlineLevel="0" collapsed="false">
      <c r="B6" s="10"/>
      <c r="C6" s="11" t="s">
        <v>17</v>
      </c>
      <c r="D6" s="13"/>
      <c r="E6" s="13"/>
      <c r="F6" s="13"/>
      <c r="G6" s="13"/>
      <c r="H6" s="12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</row>
    <row r="7" customFormat="false" ht="14.25" hidden="false" customHeight="true" outlineLevel="0" collapsed="false">
      <c r="B7" s="10"/>
      <c r="C7" s="14" t="s">
        <v>18</v>
      </c>
      <c r="D7" s="13"/>
      <c r="E7" s="13"/>
      <c r="F7" s="13"/>
      <c r="G7" s="13"/>
      <c r="H7" s="13"/>
      <c r="I7" s="12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</row>
    <row r="8" customFormat="false" ht="14.25" hidden="false" customHeight="true" outlineLevel="0" collapsed="false">
      <c r="B8" s="10" t="s">
        <v>19</v>
      </c>
      <c r="C8" s="15" t="s">
        <v>20</v>
      </c>
      <c r="D8" s="13"/>
      <c r="E8" s="13"/>
      <c r="F8" s="13"/>
      <c r="G8" s="13"/>
      <c r="H8" s="13"/>
      <c r="I8" s="13"/>
      <c r="J8" s="16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</row>
    <row r="9" customFormat="false" ht="14.25" hidden="false" customHeight="true" outlineLevel="0" collapsed="false">
      <c r="B9" s="10"/>
      <c r="C9" s="15" t="s">
        <v>21</v>
      </c>
      <c r="D9" s="13"/>
      <c r="E9" s="13"/>
      <c r="F9" s="13"/>
      <c r="G9" s="13"/>
      <c r="H9" s="13"/>
      <c r="I9" s="13"/>
      <c r="J9" s="13"/>
      <c r="K9" s="16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</row>
    <row r="10" customFormat="false" ht="14.25" hidden="false" customHeight="true" outlineLevel="0" collapsed="false">
      <c r="B10" s="10"/>
      <c r="C10" s="15" t="s">
        <v>22</v>
      </c>
      <c r="D10" s="13"/>
      <c r="E10" s="13"/>
      <c r="F10" s="13"/>
      <c r="G10" s="13"/>
      <c r="H10" s="13"/>
      <c r="I10" s="13"/>
      <c r="J10" s="13"/>
      <c r="K10" s="13"/>
      <c r="L10" s="16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</row>
    <row r="11" customFormat="false" ht="29.25" hidden="false" customHeight="true" outlineLevel="0" collapsed="false">
      <c r="B11" s="10"/>
      <c r="C11" s="17" t="s">
        <v>23</v>
      </c>
      <c r="D11" s="13"/>
      <c r="E11" s="13"/>
      <c r="F11" s="13"/>
      <c r="G11" s="13"/>
      <c r="H11" s="13"/>
      <c r="I11" s="13"/>
      <c r="J11" s="13"/>
      <c r="K11" s="13"/>
      <c r="L11" s="13"/>
      <c r="M11" s="16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</row>
    <row r="12" customFormat="false" ht="14.25" hidden="false" customHeight="true" outlineLevel="0" collapsed="false">
      <c r="B12" s="10" t="s">
        <v>24</v>
      </c>
      <c r="C12" s="18" t="s">
        <v>25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9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</row>
    <row r="13" customFormat="false" ht="28.5" hidden="false" customHeight="true" outlineLevel="0" collapsed="false">
      <c r="B13" s="10"/>
      <c r="C13" s="20" t="s">
        <v>26</v>
      </c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9"/>
      <c r="O13" s="19"/>
      <c r="P13" s="19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</row>
    <row r="14" customFormat="false" ht="31.5" hidden="false" customHeight="true" outlineLevel="0" collapsed="false">
      <c r="B14" s="10"/>
      <c r="C14" s="20" t="s">
        <v>27</v>
      </c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9"/>
      <c r="Q14" s="19"/>
      <c r="R14" s="19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</row>
    <row r="15" customFormat="false" ht="28.5" hidden="false" customHeight="true" outlineLevel="0" collapsed="false">
      <c r="B15" s="10"/>
      <c r="C15" s="20" t="s">
        <v>28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9"/>
      <c r="S15" s="19"/>
      <c r="T15" s="19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</row>
    <row r="16" customFormat="false" ht="14.25" hidden="false" customHeight="true" outlineLevel="0" collapsed="false">
      <c r="B16" s="10"/>
      <c r="C16" s="18" t="s">
        <v>29</v>
      </c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9"/>
      <c r="V16" s="13"/>
      <c r="W16" s="13"/>
      <c r="X16" s="13"/>
      <c r="Y16" s="13"/>
      <c r="Z16" s="13"/>
      <c r="AA16" s="13"/>
      <c r="AB16" s="13"/>
      <c r="AC16" s="13"/>
      <c r="AD16" s="13"/>
      <c r="AE16" s="13"/>
    </row>
    <row r="17" customFormat="false" ht="14.25" hidden="false" customHeight="true" outlineLevel="0" collapsed="false">
      <c r="B17" s="10"/>
      <c r="C17" s="18" t="s">
        <v>30</v>
      </c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9"/>
      <c r="W17" s="13"/>
      <c r="X17" s="13"/>
      <c r="Y17" s="13"/>
      <c r="Z17" s="13"/>
      <c r="AA17" s="13"/>
      <c r="AB17" s="13"/>
      <c r="AC17" s="13"/>
      <c r="AD17" s="13"/>
      <c r="AE17" s="13"/>
    </row>
    <row r="18" customFormat="false" ht="14.25" hidden="false" customHeight="true" outlineLevel="0" collapsed="false">
      <c r="B18" s="10" t="s">
        <v>31</v>
      </c>
      <c r="C18" s="21" t="s">
        <v>32</v>
      </c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22"/>
      <c r="X18" s="13"/>
      <c r="Y18" s="13"/>
      <c r="Z18" s="13"/>
      <c r="AA18" s="13"/>
      <c r="AB18" s="13"/>
      <c r="AC18" s="13"/>
      <c r="AD18" s="13"/>
      <c r="AE18" s="13"/>
    </row>
    <row r="19" customFormat="false" ht="14.25" hidden="false" customHeight="true" outlineLevel="0" collapsed="false">
      <c r="B19" s="10"/>
      <c r="C19" s="23" t="s">
        <v>33</v>
      </c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22"/>
      <c r="Y19" s="13"/>
      <c r="Z19" s="13"/>
      <c r="AA19" s="13"/>
      <c r="AB19" s="13"/>
      <c r="AC19" s="13"/>
      <c r="AD19" s="13"/>
      <c r="AE19" s="13"/>
    </row>
    <row r="20" customFormat="false" ht="14.25" hidden="false" customHeight="true" outlineLevel="0" collapsed="false">
      <c r="B20" s="10"/>
      <c r="C20" s="23" t="s">
        <v>34</v>
      </c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22"/>
      <c r="Z20" s="13"/>
      <c r="AA20" s="13"/>
      <c r="AB20" s="13"/>
      <c r="AC20" s="13"/>
      <c r="AD20" s="13"/>
      <c r="AE20" s="13"/>
    </row>
    <row r="21" customFormat="false" ht="14.25" hidden="false" customHeight="true" outlineLevel="0" collapsed="false">
      <c r="B21" s="10"/>
      <c r="C21" s="23" t="s">
        <v>35</v>
      </c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22"/>
      <c r="AA21" s="13"/>
      <c r="AB21" s="13"/>
      <c r="AC21" s="13"/>
      <c r="AD21" s="13"/>
      <c r="AE21" s="13"/>
    </row>
    <row r="22" customFormat="false" ht="14.25" hidden="false" customHeight="true" outlineLevel="0" collapsed="false">
      <c r="B22" s="10" t="s">
        <v>36</v>
      </c>
      <c r="C22" s="24" t="s">
        <v>18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25"/>
      <c r="AB22" s="25"/>
      <c r="AC22" s="13"/>
      <c r="AD22" s="13"/>
      <c r="AE22" s="13"/>
    </row>
    <row r="23" customFormat="false" ht="27.75" hidden="false" customHeight="true" outlineLevel="0" collapsed="false">
      <c r="B23" s="10"/>
      <c r="C23" s="26" t="s">
        <v>37</v>
      </c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25"/>
      <c r="AC23" s="25"/>
      <c r="AD23" s="13"/>
      <c r="AE23" s="13"/>
    </row>
    <row r="24" customFormat="false" ht="14.25" hidden="false" customHeight="true" outlineLevel="0" collapsed="false">
      <c r="B24" s="10"/>
      <c r="C24" s="24" t="s">
        <v>38</v>
      </c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25"/>
      <c r="AE24" s="13"/>
    </row>
    <row r="25" customFormat="false" ht="28.5" hidden="false" customHeight="true" outlineLevel="0" collapsed="false">
      <c r="B25" s="10"/>
      <c r="C25" s="26" t="s">
        <v>39</v>
      </c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25"/>
    </row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12">
    <mergeCell ref="D2:G2"/>
    <mergeCell ref="H2:K2"/>
    <mergeCell ref="L2:O2"/>
    <mergeCell ref="P2:S2"/>
    <mergeCell ref="T2:W2"/>
    <mergeCell ref="X2:AA2"/>
    <mergeCell ref="AB2:AE2"/>
    <mergeCell ref="B4:B7"/>
    <mergeCell ref="B8:B11"/>
    <mergeCell ref="B12:B17"/>
    <mergeCell ref="B18:B21"/>
    <mergeCell ref="B22:B2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W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T22" activeCellId="0" sqref="T2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10.7"/>
    <col collapsed="false" customWidth="true" hidden="false" outlineLevel="0" max="2" min="2" style="1" width="23"/>
    <col collapsed="false" customWidth="true" hidden="false" outlineLevel="0" max="3" min="3" style="1" width="10.7"/>
    <col collapsed="false" customWidth="true" hidden="false" outlineLevel="0" max="4" min="4" style="1" width="16.14"/>
    <col collapsed="false" customWidth="true" hidden="false" outlineLevel="0" max="5" min="5" style="1" width="13"/>
    <col collapsed="false" customWidth="true" hidden="false" outlineLevel="0" max="6" min="6" style="1" width="10.7"/>
    <col collapsed="false" customWidth="true" hidden="false" outlineLevel="0" max="8" min="7" style="1" width="72"/>
    <col collapsed="false" customWidth="true" hidden="false" outlineLevel="0" max="10" min="9" style="1" width="10.7"/>
    <col collapsed="false" customWidth="true" hidden="false" outlineLevel="0" max="11" min="11" style="1" width="22.7"/>
    <col collapsed="false" customWidth="true" hidden="false" outlineLevel="0" max="13" min="12" style="1" width="10.7"/>
    <col collapsed="false" customWidth="true" hidden="false" outlineLevel="0" max="14" min="14" style="1" width="15.43"/>
    <col collapsed="false" customWidth="true" hidden="false" outlineLevel="0" max="15" min="15" style="1" width="18.7"/>
    <col collapsed="false" customWidth="true" hidden="false" outlineLevel="0" max="16" min="16" style="1" width="10.7"/>
    <col collapsed="false" customWidth="true" hidden="false" outlineLevel="0" max="17" min="17" style="1" width="23.43"/>
    <col collapsed="false" customWidth="true" hidden="false" outlineLevel="0" max="18" min="18" style="1" width="21.86"/>
    <col collapsed="false" customWidth="true" hidden="false" outlineLevel="0" max="19" min="19" style="1" width="22.7"/>
    <col collapsed="false" customWidth="true" hidden="false" outlineLevel="0" max="20" min="20" style="1" width="23.28"/>
    <col collapsed="false" customWidth="true" hidden="false" outlineLevel="0" max="26" min="21" style="1" width="10.7"/>
  </cols>
  <sheetData>
    <row r="1" customFormat="false" ht="14.25" hidden="false" customHeight="true" outlineLevel="0" collapsed="false"/>
    <row r="2" customFormat="false" ht="14.25" hidden="false" customHeight="true" outlineLevel="0" collapsed="false">
      <c r="B2" s="27" t="s">
        <v>40</v>
      </c>
      <c r="C2" s="27"/>
      <c r="D2" s="27"/>
      <c r="E2" s="27"/>
      <c r="G2" s="28" t="s">
        <v>41</v>
      </c>
      <c r="H2" s="28"/>
      <c r="I2" s="28"/>
      <c r="K2" s="29" t="s">
        <v>42</v>
      </c>
      <c r="L2" s="29"/>
      <c r="M2" s="29"/>
      <c r="N2" s="29"/>
      <c r="O2" s="29"/>
      <c r="Q2" s="30" t="s">
        <v>43</v>
      </c>
      <c r="R2" s="30"/>
      <c r="S2" s="30"/>
      <c r="T2" s="30"/>
    </row>
    <row r="3" customFormat="false" ht="57.75" hidden="false" customHeight="true" outlineLevel="0" collapsed="false">
      <c r="B3" s="31"/>
      <c r="C3" s="32" t="s">
        <v>44</v>
      </c>
      <c r="D3" s="32" t="s">
        <v>45</v>
      </c>
      <c r="E3" s="32" t="s">
        <v>46</v>
      </c>
      <c r="G3" s="33" t="s">
        <v>47</v>
      </c>
      <c r="H3" s="34" t="s">
        <v>48</v>
      </c>
      <c r="I3" s="34" t="s">
        <v>49</v>
      </c>
      <c r="K3" s="35" t="s">
        <v>50</v>
      </c>
      <c r="L3" s="32" t="s">
        <v>44</v>
      </c>
      <c r="M3" s="32" t="s">
        <v>51</v>
      </c>
      <c r="N3" s="32" t="s">
        <v>52</v>
      </c>
      <c r="O3" s="36" t="s">
        <v>46</v>
      </c>
      <c r="Q3" s="37" t="s">
        <v>53</v>
      </c>
      <c r="R3" s="37" t="s">
        <v>54</v>
      </c>
      <c r="S3" s="37" t="s">
        <v>55</v>
      </c>
      <c r="T3" s="37" t="s">
        <v>56</v>
      </c>
    </row>
    <row r="4" customFormat="false" ht="14.25" hidden="false" customHeight="true" outlineLevel="0" collapsed="false">
      <c r="B4" s="38" t="s">
        <v>57</v>
      </c>
      <c r="C4" s="39" t="n">
        <v>1</v>
      </c>
      <c r="D4" s="40" t="n">
        <v>24000</v>
      </c>
      <c r="E4" s="41" t="n">
        <f aca="false">C4 * D4</f>
        <v>24000</v>
      </c>
      <c r="G4" s="42" t="s">
        <v>58</v>
      </c>
      <c r="H4" s="43" t="s">
        <v>59</v>
      </c>
      <c r="I4" s="44" t="n">
        <v>0</v>
      </c>
      <c r="K4" s="38" t="s">
        <v>60</v>
      </c>
      <c r="L4" s="39" t="n">
        <v>1</v>
      </c>
      <c r="M4" s="39" t="n">
        <v>7</v>
      </c>
      <c r="N4" s="45" t="n">
        <v>2000000</v>
      </c>
      <c r="O4" s="46" t="n">
        <f aca="false">(M4*N4)*L4</f>
        <v>14000000</v>
      </c>
      <c r="Q4" s="47" t="s">
        <v>61</v>
      </c>
      <c r="R4" s="48" t="s">
        <v>62</v>
      </c>
      <c r="S4" s="48" t="s">
        <v>63</v>
      </c>
      <c r="T4" s="48" t="s">
        <v>64</v>
      </c>
    </row>
    <row r="5" customFormat="false" ht="43.5" hidden="false" customHeight="true" outlineLevel="0" collapsed="false">
      <c r="B5" s="49" t="s">
        <v>65</v>
      </c>
      <c r="C5" s="39" t="n">
        <v>1</v>
      </c>
      <c r="D5" s="40" t="n">
        <v>70000</v>
      </c>
      <c r="E5" s="41" t="n">
        <f aca="false">C5 * D5</f>
        <v>70000</v>
      </c>
      <c r="G5" s="42" t="s">
        <v>66</v>
      </c>
      <c r="H5" s="43" t="s">
        <v>59</v>
      </c>
      <c r="I5" s="44" t="n">
        <v>0</v>
      </c>
      <c r="K5" s="38" t="s">
        <v>67</v>
      </c>
      <c r="L5" s="39" t="n">
        <v>1</v>
      </c>
      <c r="M5" s="39" t="n">
        <v>7</v>
      </c>
      <c r="N5" s="50" t="n">
        <v>2500000</v>
      </c>
      <c r="O5" s="46" t="n">
        <f aca="false">(M5*N5)*L5</f>
        <v>17500000</v>
      </c>
      <c r="Q5" s="47" t="s">
        <v>68</v>
      </c>
      <c r="R5" s="48" t="s">
        <v>69</v>
      </c>
      <c r="S5" s="48" t="s">
        <v>70</v>
      </c>
      <c r="T5" s="48" t="s">
        <v>71</v>
      </c>
    </row>
    <row r="6" customFormat="false" ht="39.75" hidden="false" customHeight="true" outlineLevel="0" collapsed="false">
      <c r="B6" s="38" t="s">
        <v>72</v>
      </c>
      <c r="C6" s="39" t="n">
        <v>1</v>
      </c>
      <c r="D6" s="40" t="n">
        <v>20000</v>
      </c>
      <c r="E6" s="41" t="n">
        <f aca="false">C6 * D6</f>
        <v>20000</v>
      </c>
      <c r="F6" s="51"/>
      <c r="G6" s="42" t="s">
        <v>73</v>
      </c>
      <c r="H6" s="43" t="s">
        <v>59</v>
      </c>
      <c r="I6" s="44" t="n">
        <v>0</v>
      </c>
      <c r="K6" s="38" t="s">
        <v>74</v>
      </c>
      <c r="L6" s="39" t="n">
        <v>1</v>
      </c>
      <c r="M6" s="52" t="n">
        <v>4</v>
      </c>
      <c r="N6" s="53" t="n">
        <v>1200000</v>
      </c>
      <c r="O6" s="46" t="n">
        <f aca="false">(M6*N6)*L6</f>
        <v>4800000</v>
      </c>
      <c r="Q6" s="47" t="s">
        <v>75</v>
      </c>
      <c r="R6" s="48" t="s">
        <v>76</v>
      </c>
      <c r="S6" s="48" t="s">
        <v>77</v>
      </c>
      <c r="T6" s="48" t="s">
        <v>78</v>
      </c>
    </row>
    <row r="7" customFormat="false" ht="30.75" hidden="false" customHeight="true" outlineLevel="0" collapsed="false">
      <c r="B7" s="38" t="s">
        <v>79</v>
      </c>
      <c r="C7" s="54" t="n">
        <v>40</v>
      </c>
      <c r="D7" s="40" t="n">
        <v>300</v>
      </c>
      <c r="E7" s="41" t="n">
        <f aca="false">C7 * D7</f>
        <v>12000</v>
      </c>
      <c r="F7" s="51"/>
      <c r="G7" s="42" t="s">
        <v>80</v>
      </c>
      <c r="H7" s="43" t="s">
        <v>59</v>
      </c>
      <c r="I7" s="44" t="n">
        <v>0</v>
      </c>
      <c r="K7" s="38" t="s">
        <v>81</v>
      </c>
      <c r="L7" s="39" t="n">
        <v>1</v>
      </c>
      <c r="M7" s="52" t="n">
        <v>7</v>
      </c>
      <c r="N7" s="53" t="n">
        <v>1800000</v>
      </c>
      <c r="O7" s="46" t="n">
        <f aca="false">(M7*N7)*L7</f>
        <v>12600000</v>
      </c>
      <c r="Q7" s="47" t="s">
        <v>82</v>
      </c>
      <c r="R7" s="48" t="s">
        <v>83</v>
      </c>
      <c r="S7" s="48" t="s">
        <v>84</v>
      </c>
      <c r="T7" s="48" t="s">
        <v>85</v>
      </c>
    </row>
    <row r="8" customFormat="false" ht="67.15" hidden="false" customHeight="true" outlineLevel="0" collapsed="false">
      <c r="B8" s="49" t="s">
        <v>86</v>
      </c>
      <c r="C8" s="54" t="n">
        <v>40</v>
      </c>
      <c r="D8" s="40" t="n">
        <v>300</v>
      </c>
      <c r="E8" s="41" t="n">
        <f aca="false">C8 * D8</f>
        <v>12000</v>
      </c>
      <c r="G8" s="42" t="s">
        <v>87</v>
      </c>
      <c r="H8" s="43" t="s">
        <v>59</v>
      </c>
      <c r="I8" s="44" t="n">
        <v>0</v>
      </c>
      <c r="K8" s="38" t="s">
        <v>88</v>
      </c>
      <c r="L8" s="54" t="s">
        <v>89</v>
      </c>
      <c r="M8" s="54" t="s">
        <v>89</v>
      </c>
      <c r="N8" s="55" t="s">
        <v>89</v>
      </c>
      <c r="O8" s="56" t="n">
        <f aca="false">SUM(O4:O7)</f>
        <v>48900000</v>
      </c>
      <c r="Q8" s="47" t="s">
        <v>90</v>
      </c>
      <c r="R8" s="48" t="s">
        <v>91</v>
      </c>
      <c r="S8" s="48" t="s">
        <v>92</v>
      </c>
      <c r="T8" s="48" t="s">
        <v>93</v>
      </c>
    </row>
    <row r="9" customFormat="false" ht="101.45" hidden="false" customHeight="true" outlineLevel="0" collapsed="false">
      <c r="B9" s="49" t="s">
        <v>94</v>
      </c>
      <c r="C9" s="54" t="n">
        <v>3</v>
      </c>
      <c r="D9" s="40" t="n">
        <v>3333</v>
      </c>
      <c r="E9" s="41" t="n">
        <f aca="false">C9 * D9</f>
        <v>9999</v>
      </c>
      <c r="G9" s="42" t="s">
        <v>95</v>
      </c>
      <c r="H9" s="43" t="s">
        <v>59</v>
      </c>
      <c r="I9" s="44" t="n">
        <v>0</v>
      </c>
      <c r="K9" s="57"/>
      <c r="L9" s="58"/>
      <c r="M9" s="58"/>
      <c r="N9" s="58"/>
      <c r="O9" s="59"/>
      <c r="Q9" s="60" t="s">
        <v>96</v>
      </c>
      <c r="R9" s="61" t="s">
        <v>97</v>
      </c>
      <c r="S9" s="61" t="s">
        <v>98</v>
      </c>
      <c r="T9" s="61" t="s">
        <v>99</v>
      </c>
    </row>
    <row r="10" customFormat="false" ht="117.9" hidden="false" customHeight="true" outlineLevel="0" collapsed="false">
      <c r="B10" s="49" t="s">
        <v>100</v>
      </c>
      <c r="C10" s="54" t="n">
        <v>1</v>
      </c>
      <c r="D10" s="40" t="n">
        <v>2400</v>
      </c>
      <c r="E10" s="41" t="n">
        <f aca="false">C10 * D10</f>
        <v>2400</v>
      </c>
      <c r="G10" s="42" t="s">
        <v>101</v>
      </c>
      <c r="H10" s="43" t="s">
        <v>59</v>
      </c>
      <c r="I10" s="44" t="n">
        <v>0</v>
      </c>
      <c r="K10" s="57"/>
      <c r="L10" s="58"/>
      <c r="M10" s="58"/>
      <c r="N10" s="58"/>
      <c r="O10" s="59"/>
      <c r="Q10" s="60" t="s">
        <v>102</v>
      </c>
      <c r="R10" s="61" t="s">
        <v>103</v>
      </c>
      <c r="S10" s="61" t="s">
        <v>104</v>
      </c>
      <c r="T10" s="61" t="s">
        <v>99</v>
      </c>
    </row>
    <row r="11" customFormat="false" ht="53.25" hidden="false" customHeight="true" outlineLevel="0" collapsed="false">
      <c r="B11" s="49" t="s">
        <v>105</v>
      </c>
      <c r="C11" s="54" t="n">
        <v>1</v>
      </c>
      <c r="D11" s="40" t="n">
        <v>1300</v>
      </c>
      <c r="E11" s="41" t="n">
        <f aca="false">C11 * D11</f>
        <v>1300</v>
      </c>
      <c r="G11" s="42" t="s">
        <v>106</v>
      </c>
      <c r="H11" s="43" t="s">
        <v>59</v>
      </c>
      <c r="I11" s="44" t="n">
        <v>0</v>
      </c>
      <c r="K11" s="57"/>
      <c r="L11" s="58"/>
      <c r="M11" s="58"/>
      <c r="N11" s="58"/>
      <c r="O11" s="59"/>
      <c r="Q11" s="62"/>
      <c r="R11" s="63"/>
      <c r="S11" s="64"/>
      <c r="T11" s="65"/>
    </row>
    <row r="12" customFormat="false" ht="107.45" hidden="false" customHeight="true" outlineLevel="0" collapsed="false">
      <c r="B12" s="49" t="s">
        <v>107</v>
      </c>
      <c r="C12" s="54" t="n">
        <v>6</v>
      </c>
      <c r="D12" s="40" t="n">
        <v>383</v>
      </c>
      <c r="E12" s="41" t="n">
        <f aca="false">C12 * D12</f>
        <v>2298</v>
      </c>
      <c r="G12" s="42" t="s">
        <v>108</v>
      </c>
      <c r="H12" s="43" t="s">
        <v>59</v>
      </c>
      <c r="I12" s="44" t="n">
        <v>0</v>
      </c>
      <c r="K12" s="57"/>
      <c r="L12" s="58"/>
      <c r="M12" s="58"/>
      <c r="N12" s="58"/>
      <c r="O12" s="59"/>
      <c r="Q12" s="62" t="s">
        <v>109</v>
      </c>
      <c r="R12" s="66" t="s">
        <v>110</v>
      </c>
      <c r="S12" s="66"/>
      <c r="T12" s="66"/>
    </row>
    <row r="13" customFormat="false" ht="31.3" hidden="false" customHeight="true" outlineLevel="0" collapsed="false">
      <c r="B13" s="38" t="s">
        <v>111</v>
      </c>
      <c r="C13" s="39" t="n">
        <v>1</v>
      </c>
      <c r="D13" s="40" t="n">
        <v>20000</v>
      </c>
      <c r="E13" s="41" t="n">
        <f aca="false">C13 * D13</f>
        <v>20000</v>
      </c>
      <c r="G13" s="42" t="s">
        <v>112</v>
      </c>
      <c r="H13" s="43" t="s">
        <v>59</v>
      </c>
      <c r="I13" s="44" t="n">
        <v>0</v>
      </c>
      <c r="Q13" s="60" t="s">
        <v>113</v>
      </c>
      <c r="R13" s="67" t="n">
        <v>7000000</v>
      </c>
      <c r="S13" s="67"/>
      <c r="T13" s="67"/>
    </row>
    <row r="14" customFormat="false" ht="32.25" hidden="false" customHeight="true" outlineLevel="0" collapsed="false">
      <c r="B14" s="68" t="s">
        <v>114</v>
      </c>
      <c r="C14" s="69" t="n">
        <v>2</v>
      </c>
      <c r="D14" s="70" t="n">
        <v>3500000</v>
      </c>
      <c r="E14" s="41" t="n">
        <f aca="false">C14 * D14</f>
        <v>7000000</v>
      </c>
      <c r="G14" s="42" t="s">
        <v>115</v>
      </c>
      <c r="H14" s="43" t="s">
        <v>116</v>
      </c>
      <c r="I14" s="44" t="n">
        <v>693600</v>
      </c>
      <c r="Q14" s="71"/>
      <c r="R14" s="72"/>
      <c r="S14" s="72"/>
      <c r="T14" s="73"/>
    </row>
    <row r="15" customFormat="false" ht="53.25" hidden="false" customHeight="true" outlineLevel="0" collapsed="false">
      <c r="B15" s="47" t="s">
        <v>117</v>
      </c>
      <c r="C15" s="74" t="n">
        <v>2</v>
      </c>
      <c r="D15" s="75" t="n">
        <v>450000</v>
      </c>
      <c r="E15" s="41" t="n">
        <f aca="false">C15 * D15</f>
        <v>900000</v>
      </c>
      <c r="G15" s="42" t="s">
        <v>118</v>
      </c>
      <c r="H15" s="43" t="s">
        <v>116</v>
      </c>
      <c r="I15" s="44" t="n">
        <v>50000</v>
      </c>
      <c r="Q15" s="76"/>
      <c r="R15" s="72"/>
      <c r="S15" s="77"/>
      <c r="T15" s="77"/>
    </row>
    <row r="16" customFormat="false" ht="38.8" hidden="false" customHeight="true" outlineLevel="0" collapsed="false">
      <c r="B16" s="38" t="s">
        <v>119</v>
      </c>
      <c r="C16" s="54" t="s">
        <v>89</v>
      </c>
      <c r="D16" s="54" t="s">
        <v>89</v>
      </c>
      <c r="E16" s="78" t="n">
        <f aca="false">SUM(E4:E15)</f>
        <v>8073997</v>
      </c>
      <c r="G16" s="38" t="s">
        <v>120</v>
      </c>
      <c r="H16" s="54" t="s">
        <v>121</v>
      </c>
      <c r="I16" s="78" t="n">
        <f aca="false">SUM(I4:I15)</f>
        <v>743600</v>
      </c>
      <c r="Q16" s="71"/>
      <c r="R16" s="79"/>
      <c r="S16" s="51"/>
      <c r="T16" s="51"/>
    </row>
    <row r="17" customFormat="false" ht="14.25" hidden="false" customHeight="true" outlineLevel="0" collapsed="false">
      <c r="Q17" s="51"/>
      <c r="R17" s="51"/>
      <c r="S17" s="51"/>
      <c r="T17" s="51"/>
    </row>
    <row r="18" customFormat="false" ht="38.05" hidden="false" customHeight="true" outlineLevel="0" collapsed="false">
      <c r="Q18" s="80" t="s">
        <v>122</v>
      </c>
      <c r="R18" s="80"/>
      <c r="S18" s="80"/>
      <c r="T18" s="51"/>
    </row>
    <row r="19" customFormat="false" ht="14.25" hidden="false" customHeight="true" outlineLevel="0" collapsed="false">
      <c r="Q19" s="37" t="s">
        <v>123</v>
      </c>
      <c r="R19" s="37" t="s">
        <v>124</v>
      </c>
      <c r="S19" s="37" t="s">
        <v>125</v>
      </c>
    </row>
    <row r="20" customFormat="false" ht="40.25" hidden="false" customHeight="true" outlineLevel="0" collapsed="false">
      <c r="Q20" s="47" t="s">
        <v>126</v>
      </c>
      <c r="R20" s="48" t="s">
        <v>127</v>
      </c>
      <c r="S20" s="48" t="s">
        <v>128</v>
      </c>
    </row>
    <row r="21" customFormat="false" ht="79.1" hidden="false" customHeight="true" outlineLevel="0" collapsed="false">
      <c r="Q21" s="47" t="s">
        <v>129</v>
      </c>
      <c r="R21" s="48" t="s">
        <v>130</v>
      </c>
      <c r="S21" s="48" t="s">
        <v>131</v>
      </c>
    </row>
    <row r="22" customFormat="false" ht="93.25" hidden="false" customHeight="true" outlineLevel="0" collapsed="false">
      <c r="Q22" s="81" t="s">
        <v>109</v>
      </c>
      <c r="R22" s="82" t="s">
        <v>132</v>
      </c>
      <c r="S22" s="82"/>
      <c r="W22" s="83"/>
    </row>
    <row r="23" customFormat="false" ht="69" hidden="false" customHeight="true" outlineLevel="0" collapsed="false">
      <c r="Q23" s="84" t="s">
        <v>113</v>
      </c>
      <c r="R23" s="85" t="n">
        <v>900000</v>
      </c>
      <c r="S23" s="85"/>
    </row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4.25" hidden="false" customHeight="true" outlineLevel="0" collapsed="false"/>
    <row r="1003" customFormat="false" ht="14.25" hidden="false" customHeight="true" outlineLevel="0" collapsed="false"/>
    <row r="1004" customFormat="false" ht="14.25" hidden="false" customHeight="true" outlineLevel="0" collapsed="false"/>
  </sheetData>
  <mergeCells count="9">
    <mergeCell ref="B2:E2"/>
    <mergeCell ref="G2:I2"/>
    <mergeCell ref="K2:O2"/>
    <mergeCell ref="Q2:T2"/>
    <mergeCell ref="R12:T12"/>
    <mergeCell ref="R13:T13"/>
    <mergeCell ref="Q18:S18"/>
    <mergeCell ref="R22:S22"/>
    <mergeCell ref="R23:S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10.7"/>
    <col collapsed="false" customWidth="true" hidden="false" outlineLevel="0" max="2" min="2" style="1" width="11.57"/>
    <col collapsed="false" customWidth="true" hidden="false" outlineLevel="0" max="3" min="3" style="1" width="21.3"/>
    <col collapsed="false" customWidth="true" hidden="false" outlineLevel="0" max="4" min="4" style="1" width="22.86"/>
    <col collapsed="false" customWidth="true" hidden="false" outlineLevel="0" max="5" min="5" style="1" width="10.7"/>
    <col collapsed="false" customWidth="true" hidden="false" outlineLevel="0" max="6" min="6" style="1" width="23.43"/>
    <col collapsed="false" customWidth="true" hidden="false" outlineLevel="0" max="7" min="7" style="1" width="22.86"/>
    <col collapsed="false" customWidth="true" hidden="false" outlineLevel="0" max="8" min="8" style="1" width="23.28"/>
    <col collapsed="false" customWidth="true" hidden="false" outlineLevel="0" max="26" min="9" style="1" width="10.7"/>
  </cols>
  <sheetData>
    <row r="1" customFormat="false" ht="14.25" hidden="false" customHeight="true" outlineLevel="0" collapsed="false"/>
    <row r="2" customFormat="false" ht="14.25" hidden="false" customHeight="true" outlineLevel="0" collapsed="false">
      <c r="B2" s="30" t="s">
        <v>133</v>
      </c>
      <c r="C2" s="30"/>
      <c r="D2" s="30"/>
      <c r="F2" s="86" t="s">
        <v>134</v>
      </c>
      <c r="G2" s="86"/>
      <c r="H2" s="86"/>
    </row>
    <row r="3" customFormat="false" ht="14.25" hidden="false" customHeight="true" outlineLevel="0" collapsed="false">
      <c r="B3" s="37" t="s">
        <v>123</v>
      </c>
      <c r="C3" s="37" t="s">
        <v>124</v>
      </c>
      <c r="D3" s="37" t="s">
        <v>125</v>
      </c>
      <c r="F3" s="37" t="s">
        <v>123</v>
      </c>
      <c r="G3" s="37" t="s">
        <v>124</v>
      </c>
      <c r="H3" s="37" t="s">
        <v>125</v>
      </c>
    </row>
    <row r="4" customFormat="false" ht="50.7" hidden="false" customHeight="true" outlineLevel="0" collapsed="false">
      <c r="B4" s="47" t="s">
        <v>126</v>
      </c>
      <c r="C4" s="48" t="s">
        <v>127</v>
      </c>
      <c r="D4" s="48" t="s">
        <v>128</v>
      </c>
      <c r="F4" s="47" t="s">
        <v>135</v>
      </c>
      <c r="G4" s="48" t="s">
        <v>136</v>
      </c>
      <c r="H4" s="48" t="s">
        <v>137</v>
      </c>
    </row>
    <row r="5" customFormat="false" ht="53.7" hidden="false" customHeight="true" outlineLevel="0" collapsed="false">
      <c r="B5" s="47" t="s">
        <v>129</v>
      </c>
      <c r="C5" s="48" t="s">
        <v>130</v>
      </c>
      <c r="D5" s="48" t="s">
        <v>131</v>
      </c>
      <c r="F5" s="47" t="s">
        <v>138</v>
      </c>
      <c r="G5" s="48" t="s">
        <v>139</v>
      </c>
      <c r="H5" s="48" t="s">
        <v>140</v>
      </c>
    </row>
    <row r="6" customFormat="false" ht="70.85" hidden="false" customHeight="true" outlineLevel="0" collapsed="false">
      <c r="B6" s="47"/>
      <c r="C6" s="48"/>
      <c r="D6" s="48"/>
      <c r="F6" s="47" t="s">
        <v>141</v>
      </c>
      <c r="G6" s="48" t="s">
        <v>142</v>
      </c>
      <c r="H6" s="48" t="s">
        <v>143</v>
      </c>
    </row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>
      <c r="B9" s="1" t="s">
        <v>144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2">
    <mergeCell ref="B2:D2"/>
    <mergeCell ref="F2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2025-09-01T14:21:14Z</dcterms:created>
  <dc:creator>juan david cabrera caballero</dc:creator>
  <dc:description/>
  <dc:language>es-ES</dc:language>
  <cp:lastModifiedBy/>
  <dcterms:modified xsi:type="dcterms:W3CDTF">2026-10-12T21:15:21Z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